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;(€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9" fontId="3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</cols>
  <sheetData>
    <row r="1">
      <c r="A1" s="1" t="inlineStr">
        <is>
          <t>SUNDIAL: budget to build the nine panels</t>
        </is>
      </c>
    </row>
    <row r="2">
      <c r="A2" s="2" t="inlineStr">
        <is>
          <t>Draft, 25 Oct 2026. Hardware, the first event, and yearly running costs (Sole and the event).</t>
        </is>
      </c>
    </row>
    <row r="4">
      <c r="A4" s="3" t="inlineStr">
        <is>
          <t>Node</t>
        </is>
      </c>
      <c r="B4" s="3" t="inlineStr">
        <is>
          <t>Cost (€)</t>
        </is>
      </c>
      <c r="C4" s="3" t="inlineStr">
        <is>
          <t>Share</t>
        </is>
      </c>
    </row>
    <row r="5">
      <c r="A5" s="2" t="inlineStr">
        <is>
          <t>Panels and boards</t>
        </is>
      </c>
      <c r="B5" s="4">
        <f>SUMIFS(Lines!$E$2:$E$34,Lines!$A$2:$A$34,A5,Lines!$H$2:$H$34,"Yes")</f>
        <v/>
      </c>
      <c r="C5" s="5">
        <f>IFERROR(B5/$B$11,0)</f>
        <v/>
      </c>
    </row>
    <row r="6">
      <c r="A6" s="2" t="inlineStr">
        <is>
          <t>Sundial hardware</t>
        </is>
      </c>
      <c r="B6" s="4">
        <f>SUMIFS(Lines!$E$2:$E$34,Lines!$A$2:$A$34,A6,Lines!$H$2:$H$34,"Yes")</f>
        <v/>
      </c>
      <c r="C6" s="5">
        <f>IFERROR(B6/$B$11,0)</f>
        <v/>
      </c>
    </row>
    <row r="7">
      <c r="A7" s="2" t="inlineStr">
        <is>
          <t>Mounting and plates</t>
        </is>
      </c>
      <c r="B7" s="4">
        <f>SUMIFS(Lines!$E$2:$E$34,Lines!$A$2:$A$34,A7,Lines!$H$2:$H$34,"Yes")</f>
        <v/>
      </c>
      <c r="C7" s="5">
        <f>IFERROR(B7/$B$11,0)</f>
        <v/>
      </c>
    </row>
    <row r="8">
      <c r="A8" s="2" t="inlineStr">
        <is>
          <t>The event (2027)</t>
        </is>
      </c>
      <c r="B8" s="4">
        <f>SUMIFS(Lines!$E$2:$E$34,Lines!$A$2:$A$34,A8,Lines!$H$2:$H$34,"Yes")</f>
        <v/>
      </c>
      <c r="C8" s="5">
        <f>IFERROR(B8/$B$11,0)</f>
        <v/>
      </c>
    </row>
    <row r="9">
      <c r="A9" s="2" t="inlineStr">
        <is>
          <t>Website, permissions, insurance</t>
        </is>
      </c>
      <c r="B9" s="4">
        <f>SUMIFS(Lines!$E$2:$E$34,Lines!$A$2:$A$34,A9,Lines!$H$2:$H$34,"Yes")</f>
        <v/>
      </c>
      <c r="C9" s="5">
        <f>IFERROR(B9/$B$11,0)</f>
        <v/>
      </c>
    </row>
    <row r="10">
      <c r="A10" s="2" t="inlineStr">
        <is>
          <t>Shared and spares</t>
        </is>
      </c>
      <c r="B10" s="4">
        <f>SUMIFS(Lines!$E$2:$E$34,Lines!$A$2:$A$34,A10,Lines!$H$2:$H$34,"Yes")</f>
        <v/>
      </c>
      <c r="C10" s="5">
        <f>IFERROR(B10/$B$11,0)</f>
        <v/>
      </c>
    </row>
    <row r="11">
      <c r="A11" s="6" t="inlineStr">
        <is>
          <t>Build subtotal</t>
        </is>
      </c>
      <c r="B11" s="7">
        <f>SUM(B5:B10)</f>
        <v/>
      </c>
      <c r="C11" s="8" t="n"/>
    </row>
    <row r="12">
      <c r="A12" s="2" t="inlineStr">
        <is>
          <t>Contingency</t>
        </is>
      </c>
      <c r="B12" s="4">
        <f>B11*B17</f>
        <v/>
      </c>
    </row>
    <row r="13">
      <c r="A13" s="6" t="inlineStr">
        <is>
          <t>Build total</t>
        </is>
      </c>
      <c r="B13" s="7">
        <f>B11+B12</f>
        <v/>
      </c>
      <c r="C13" s="8" t="n"/>
    </row>
    <row r="14">
      <c r="A14" s="2" t="inlineStr">
        <is>
          <t>Each following year: insurance, domain, upkeep, the year's print</t>
        </is>
      </c>
      <c r="B14" s="4">
        <f>SUMIFS(Lines!$E$2:$E$34,Lines!$A$2:$A$34,"Running, each year",Lines!$H$2:$H$34,"Yes")</f>
        <v/>
      </c>
    </row>
    <row r="15">
      <c r="A15" s="9" t="inlineStr">
        <is>
          <t>Total to build and run the first year</t>
        </is>
      </c>
      <c r="B15" s="10">
        <f>B13</f>
        <v/>
      </c>
      <c r="C15" s="8" t="n"/>
    </row>
    <row r="17">
      <c r="A17" s="2" t="inlineStr">
        <is>
          <t>Contingency rate</t>
        </is>
      </c>
      <c r="B17" s="11" t="n">
        <v>0.15</v>
      </c>
    </row>
    <row r="19">
      <c r="A19" s="12" t="inlineStr">
        <is>
          <t>Option, not in the total:</t>
        </is>
      </c>
    </row>
    <row r="20">
      <c r="A20" s="2" t="inlineStr">
        <is>
          <t>Post panel (in place of one wall)</t>
        </is>
      </c>
      <c r="B20" s="4">
        <f>SUMIFS(Lines!$E$2:$E$34,Lines!$A$2:$A$34,"Post option")</f>
        <v/>
      </c>
    </row>
    <row r="22">
      <c r="A22" s="12" t="inlineStr">
        <is>
          <t>How to use it</t>
        </is>
      </c>
    </row>
    <row r="23">
      <c r="A23" s="2" t="inlineStr">
        <is>
          <t>Edit only the blue cells: quantities, unit prices and Include (Yes/No) on the Lines sheet, and the contingency rate above (yellow).</t>
        </is>
      </c>
    </row>
    <row r="24">
      <c r="A24" s="2" t="inlineStr">
        <is>
          <t>Basis on each line: Quote (from the supplier), Listed price (seen online, Oct 2026), Estimate (to be confirmed).</t>
        </is>
      </c>
    </row>
    <row r="25">
      <c r="A25" s="2" t="inlineStr">
        <is>
          <t>Prices include VAT. The first year's insurance, domain and print are in the build cost; the yearly figure starts from the second year.</t>
        </is>
      </c>
    </row>
    <row r="26">
      <c r="A26" s="2" t="inlineStr">
        <is>
          <t>To include a post panel, set its lines' Include to Yes on the Lines sheet.</t>
        </is>
      </c>
    </row>
    <row r="27">
      <c r="A27" s="2" t="inlineStr">
        <is>
          <t>Not included: PVA's labour and travel; the print's sale income.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7" customWidth="1" min="3" max="3"/>
    <col width="11" customWidth="1" min="4" max="4"/>
    <col width="12" customWidth="1" min="5" max="5"/>
    <col width="14" customWidth="1" min="6" max="6"/>
    <col width="70" customWidth="1" min="7" max="7"/>
    <col width="9" customWidth="1" min="8" max="8"/>
  </cols>
  <sheetData>
    <row r="1">
      <c r="A1" s="3" t="inlineStr">
        <is>
          <t>Node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 (€)</t>
        </is>
      </c>
      <c r="E1" s="3" t="inlineStr">
        <is>
          <t>Total (€)</t>
        </is>
      </c>
      <c r="F1" s="3" t="inlineStr">
        <is>
          <t>Basis</t>
        </is>
      </c>
      <c r="G1" s="3" t="inlineStr">
        <is>
          <t>Source / note</t>
        </is>
      </c>
      <c r="H1" s="3" t="inlineStr">
        <is>
          <t>Include</t>
        </is>
      </c>
    </row>
    <row r="2">
      <c r="A2" s="2" t="inlineStr">
        <is>
          <t>Panels and boards</t>
        </is>
      </c>
      <c r="B2" s="2" t="inlineStr">
        <is>
          <t>Retired PV panel, Trina TSM-185DC01 class (9 + 1 spare)</t>
        </is>
      </c>
      <c r="C2" s="13" t="n">
        <v>10</v>
      </c>
      <c r="D2" s="14" t="n">
        <v>30</v>
      </c>
      <c r="E2" s="4">
        <f>C2*D2</f>
        <v/>
      </c>
      <c r="F2" s="2" t="inlineStr">
        <is>
          <t>Estimate</t>
        </is>
      </c>
      <c r="G2" s="2" t="inlineStr">
        <is>
          <t>Second-hand / end-of-life; may be donated. Source still to confirm</t>
        </is>
      </c>
      <c r="H2" s="13" t="inlineStr">
        <is>
          <t>Yes</t>
        </is>
      </c>
    </row>
    <row r="3">
      <c r="A3" s="2" t="inlineStr">
        <is>
          <t>Panels and boards</t>
        </is>
      </c>
      <c r="B3" s="2" t="inlineStr">
        <is>
          <t>Board designer: schematic review, layout, files (CARRIER.md brief)</t>
        </is>
      </c>
      <c r="C3" s="13" t="n">
        <v>1</v>
      </c>
      <c r="D3" s="14" t="n">
        <v>1000</v>
      </c>
      <c r="E3" s="4">
        <f>C3*D3</f>
        <v/>
      </c>
      <c r="F3" s="2" t="inlineStr">
        <is>
          <t>Estimate</t>
        </is>
      </c>
      <c r="G3" s="2" t="inlineStr">
        <is>
          <t>One-off; get quotes (Italian/European design house)</t>
        </is>
      </c>
      <c r="H3" s="13" t="inlineStr">
        <is>
          <t>Yes</t>
        </is>
      </c>
    </row>
    <row r="4">
      <c r="A4" s="2" t="inlineStr">
        <is>
          <t>Panels and boards</t>
        </is>
      </c>
      <c r="B4" s="2" t="inlineStr">
        <is>
          <t>Carrier v1, small run of 5, assembled (bench test of the sun sensor)</t>
        </is>
      </c>
      <c r="C4" s="13" t="n">
        <v>5</v>
      </c>
      <c r="D4" s="14" t="n">
        <v>100</v>
      </c>
      <c r="E4" s="4">
        <f>C4*D4</f>
        <v/>
      </c>
      <c r="F4" s="2" t="inlineStr">
        <is>
          <t>Estimate</t>
        </is>
      </c>
      <c r="G4" s="2" t="inlineStr">
        <is>
          <t>Small-run setup costs make v1 dear per board</t>
        </is>
      </c>
      <c r="H4" s="13" t="inlineStr">
        <is>
          <t>Yes</t>
        </is>
      </c>
    </row>
    <row r="5">
      <c r="A5" s="2" t="inlineStr">
        <is>
          <t>Panels and boards</t>
        </is>
      </c>
      <c r="B5" s="2" t="inlineStr">
        <is>
          <t>Carrier v2, run of 10, assembled (9 panels + 1 spare)</t>
        </is>
      </c>
      <c r="C5" s="13" t="n">
        <v>10</v>
      </c>
      <c r="D5" s="14" t="n">
        <v>60</v>
      </c>
      <c r="E5" s="4">
        <f>C5*D5</f>
        <v/>
      </c>
      <c r="F5" s="2" t="inlineStr">
        <is>
          <t>Estimate</t>
        </is>
      </c>
      <c r="G5" s="2" t="inlineStr">
        <is>
          <t>CARRIER.md: order 5 of v1, fix, then 10 of v2</t>
        </is>
      </c>
      <c r="H5" s="13" t="inlineStr">
        <is>
          <t>Yes</t>
        </is>
      </c>
    </row>
    <row r="6">
      <c r="A6" s="2" t="inlineStr">
        <is>
          <t>Panels and boards</t>
        </is>
      </c>
      <c r="B6" s="2" t="inlineStr">
        <is>
          <t>ELEGOO ESP32 30-pin dev boards (v1 bench + v2)</t>
        </is>
      </c>
      <c r="C6" s="13" t="n">
        <v>15</v>
      </c>
      <c r="D6" s="14" t="n">
        <v>9</v>
      </c>
      <c r="E6" s="4">
        <f>C6*D6</f>
        <v/>
      </c>
      <c r="F6" s="2" t="inlineStr">
        <is>
          <t>Estimate</t>
        </is>
      </c>
      <c r="G6" s="2" t="inlineStr"/>
      <c r="H6" s="13" t="inlineStr">
        <is>
          <t>Yes</t>
        </is>
      </c>
    </row>
    <row r="7">
      <c r="A7" s="2" t="inlineStr">
        <is>
          <t>Panels and boards</t>
        </is>
      </c>
      <c r="B7" s="2" t="inlineStr">
        <is>
          <t>Buck converter modules (8–60 V in, 5 V out)</t>
        </is>
      </c>
      <c r="C7" s="13" t="n">
        <v>15</v>
      </c>
      <c r="D7" s="14" t="n">
        <v>5</v>
      </c>
      <c r="E7" s="4">
        <f>C7*D7</f>
        <v/>
      </c>
      <c r="F7" s="2" t="inlineStr">
        <is>
          <t>Estimate</t>
        </is>
      </c>
      <c r="G7" s="2" t="inlineStr"/>
      <c r="H7" s="13" t="inlineStr">
        <is>
          <t>Yes</t>
        </is>
      </c>
    </row>
    <row r="8">
      <c r="A8" s="2" t="inlineStr">
        <is>
          <t>Panels and boards</t>
        </is>
      </c>
      <c r="B8" s="2" t="inlineStr">
        <is>
          <t>Supercapacitor pairs (2 x 10 F), DS18B20 probe, CR2032</t>
        </is>
      </c>
      <c r="C8" s="13" t="n">
        <v>10</v>
      </c>
      <c r="D8" s="14" t="n">
        <v>12</v>
      </c>
      <c r="E8" s="4">
        <f>C8*D8</f>
        <v/>
      </c>
      <c r="F8" s="2" t="inlineStr">
        <is>
          <t>Estimate</t>
        </is>
      </c>
      <c r="G8" s="2" t="inlineStr"/>
      <c r="H8" s="13" t="inlineStr">
        <is>
          <t>Yes</t>
        </is>
      </c>
    </row>
    <row r="9">
      <c r="A9" s="2" t="inlineStr">
        <is>
          <t>Panels and boards</t>
        </is>
      </c>
      <c r="B9" s="2" t="inlineStr">
        <is>
          <t>IP65 box, glands, breather vent, tamper screws</t>
        </is>
      </c>
      <c r="C9" s="13" t="n">
        <v>10</v>
      </c>
      <c r="D9" s="14" t="n">
        <v>32</v>
      </c>
      <c r="E9" s="4">
        <f>C9*D9</f>
        <v/>
      </c>
      <c r="F9" s="2" t="inlineStr">
        <is>
          <t>Estimate</t>
        </is>
      </c>
      <c r="G9" s="2" t="inlineStr">
        <is>
          <t>CARRIER.md: about 150 x 110 x 70 mm</t>
        </is>
      </c>
      <c r="H9" s="13" t="inlineStr">
        <is>
          <t>Yes</t>
        </is>
      </c>
    </row>
    <row r="10">
      <c r="A10" s="2" t="inlineStr">
        <is>
          <t>Panels and boards</t>
        </is>
      </c>
      <c r="B10" s="2" t="inlineStr">
        <is>
          <t>Cable, fuses, terminals</t>
        </is>
      </c>
      <c r="C10" s="13" t="n">
        <v>10</v>
      </c>
      <c r="D10" s="14" t="n">
        <v>15</v>
      </c>
      <c r="E10" s="4">
        <f>C10*D10</f>
        <v/>
      </c>
      <c r="F10" s="2" t="inlineStr">
        <is>
          <t>Estimate</t>
        </is>
      </c>
      <c r="G10" s="2" t="inlineStr"/>
      <c r="H10" s="13" t="inlineStr">
        <is>
          <t>Yes</t>
        </is>
      </c>
    </row>
    <row r="11">
      <c r="A11" s="2" t="inlineStr">
        <is>
          <t>Sundial hardware</t>
        </is>
      </c>
      <c r="B11" s="2" t="inlineStr">
        <is>
          <t>Gnomon: 15 mm aluminium tube, 45 cm, TIG-welded to its mount</t>
        </is>
      </c>
      <c r="C11" s="13" t="n">
        <v>9</v>
      </c>
      <c r="D11" s="14" t="n">
        <v>40</v>
      </c>
      <c r="E11" s="4">
        <f>C11*D11</f>
        <v/>
      </c>
      <c r="F11" s="2" t="inlineStr">
        <is>
          <t>Estimate</t>
        </is>
      </c>
      <c r="G11" s="2" t="inlineStr">
        <is>
          <t>Local fabrication; GNOMON.md</t>
        </is>
      </c>
      <c r="H11" s="13" t="inlineStr">
        <is>
          <t>Yes</t>
        </is>
      </c>
    </row>
    <row r="12">
      <c r="A12" s="2" t="inlineStr">
        <is>
          <t>Sundial hardware</t>
        </is>
      </c>
      <c r="B12" s="2" t="inlineStr">
        <is>
          <t>Hour lines and date marks: UV-stable vinyl pinstripe tape, per panel</t>
        </is>
      </c>
      <c r="C12" s="13" t="n">
        <v>9</v>
      </c>
      <c r="D12" s="14" t="n">
        <v>10</v>
      </c>
      <c r="E12" s="4">
        <f>C12*D12</f>
        <v/>
      </c>
      <c r="F12" s="2" t="inlineStr">
        <is>
          <t>Estimate</t>
        </is>
      </c>
      <c r="G12" s="2" t="inlineStr">
        <is>
          <t>No numbers, no brackets; GNOMON.md</t>
        </is>
      </c>
      <c r="H12" s="13" t="inlineStr">
        <is>
          <t>Yes</t>
        </is>
      </c>
    </row>
    <row r="13">
      <c r="A13" s="2" t="inlineStr">
        <is>
          <t>Sundial hardware</t>
        </is>
      </c>
      <c r="B13" s="2" t="inlineStr">
        <is>
          <t>Stand-offs (aluminium angle) and M6 stainless fixings</t>
        </is>
      </c>
      <c r="C13" s="13" t="n">
        <v>9</v>
      </c>
      <c r="D13" s="14" t="n">
        <v>30</v>
      </c>
      <c r="E13" s="4">
        <f>C13*D13</f>
        <v/>
      </c>
      <c r="F13" s="2" t="inlineStr">
        <is>
          <t>Estimate</t>
        </is>
      </c>
      <c r="G13" s="2" t="inlineStr"/>
      <c r="H13" s="13" t="inlineStr">
        <is>
          <t>Yes</t>
        </is>
      </c>
    </row>
    <row r="14">
      <c r="A14" s="2" t="inlineStr">
        <is>
          <t>Sundial hardware</t>
        </is>
      </c>
      <c r="B14" s="2" t="inlineStr">
        <is>
          <t>Hour-line tape test (pilot panel)</t>
        </is>
      </c>
      <c r="C14" s="13" t="n">
        <v>1</v>
      </c>
      <c r="D14" s="14" t="n">
        <v>20</v>
      </c>
      <c r="E14" s="4">
        <f>C14*D14</f>
        <v/>
      </c>
      <c r="F14" s="2" t="inlineStr">
        <is>
          <t>Estimate</t>
        </is>
      </c>
      <c r="G14" s="2" t="inlineStr">
        <is>
          <t>README to-do</t>
        </is>
      </c>
      <c r="H14" s="13" t="inlineStr">
        <is>
          <t>Yes</t>
        </is>
      </c>
    </row>
    <row r="15">
      <c r="A15" s="2" t="inlineStr">
        <is>
          <t>Mounting and plates</t>
        </is>
      </c>
      <c r="B15" s="2" t="inlineStr">
        <is>
          <t>Wall fixings (anchors, brackets)</t>
        </is>
      </c>
      <c r="C15" s="13" t="n">
        <v>9</v>
      </c>
      <c r="D15" s="14" t="n">
        <v>25</v>
      </c>
      <c r="E15" s="4">
        <f>C15*D15</f>
        <v/>
      </c>
      <c r="F15" s="2" t="inlineStr">
        <is>
          <t>Estimate</t>
        </is>
      </c>
      <c r="G15" s="2" t="inlineStr"/>
      <c r="H15" s="13" t="inlineStr">
        <is>
          <t>Yes</t>
        </is>
      </c>
    </row>
    <row r="16">
      <c r="A16" s="2" t="inlineStr">
        <is>
          <t>Mounting and plates</t>
        </is>
      </c>
      <c r="B16" s="2" t="inlineStr">
        <is>
          <t>Wall plate: number and QR code</t>
        </is>
      </c>
      <c r="C16" s="13" t="n">
        <v>9</v>
      </c>
      <c r="D16" s="14" t="n">
        <v>20</v>
      </c>
      <c r="E16" s="4">
        <f>C16*D16</f>
        <v/>
      </c>
      <c r="F16" s="2" t="inlineStr">
        <is>
          <t>Estimate</t>
        </is>
      </c>
      <c r="G16" s="2" t="inlineStr"/>
      <c r="H16" s="13" t="inlineStr">
        <is>
          <t>Yes</t>
        </is>
      </c>
    </row>
    <row r="17">
      <c r="A17" s="2" t="inlineStr">
        <is>
          <t>The event (2027)</t>
        </is>
      </c>
      <c r="B17" s="2" t="inlineStr">
        <is>
          <t>Girasole: dwarf sunflowers, pots, soil</t>
        </is>
      </c>
      <c r="C17" s="13" t="n">
        <v>1</v>
      </c>
      <c r="D17" s="14" t="n">
        <v>40</v>
      </c>
      <c r="E17" s="4">
        <f>C17*D17</f>
        <v/>
      </c>
      <c r="F17" s="2" t="inlineStr">
        <is>
          <t>Estimate</t>
        </is>
      </c>
      <c r="G17" s="2" t="inlineStr"/>
      <c r="H17" s="13" t="inlineStr">
        <is>
          <t>Yes</t>
        </is>
      </c>
    </row>
    <row r="18">
      <c r="A18" s="2" t="inlineStr">
        <is>
          <t>The event (2027)</t>
        </is>
      </c>
      <c r="B18" s="2" t="inlineStr">
        <is>
          <t>Girasole: chalkboard, stand, ochre and blue chalk</t>
        </is>
      </c>
      <c r="C18" s="13" t="n">
        <v>1</v>
      </c>
      <c r="D18" s="14" t="n">
        <v>90</v>
      </c>
      <c r="E18" s="4">
        <f>C18*D18</f>
        <v/>
      </c>
      <c r="F18" s="2" t="inlineStr">
        <is>
          <t>Estimate</t>
        </is>
      </c>
      <c r="G18" s="2" t="inlineStr"/>
      <c r="H18" s="13" t="inlineStr">
        <is>
          <t>Yes</t>
        </is>
      </c>
    </row>
    <row r="19">
      <c r="A19" s="2" t="inlineStr">
        <is>
          <t>The event (2027)</t>
        </is>
      </c>
      <c r="B19" s="2" t="inlineStr">
        <is>
          <t>Flyers</t>
        </is>
      </c>
      <c r="C19" s="13" t="n">
        <v>1</v>
      </c>
      <c r="D19" s="14" t="n">
        <v>100</v>
      </c>
      <c r="E19" s="4">
        <f>C19*D19</f>
        <v/>
      </c>
      <c r="F19" s="2" t="inlineStr">
        <is>
          <t>Estimate</t>
        </is>
      </c>
      <c r="G19" s="2" t="inlineStr"/>
      <c r="H19" s="13" t="inlineStr">
        <is>
          <t>Yes</t>
        </is>
      </c>
    </row>
    <row r="20">
      <c r="A20" s="2" t="inlineStr">
        <is>
          <t>The event (2027)</t>
        </is>
      </c>
      <c r="B20" s="2" t="inlineStr">
        <is>
          <t>Screen print set-up: four screens and films</t>
        </is>
      </c>
      <c r="C20" s="13" t="n">
        <v>1</v>
      </c>
      <c r="D20" s="14" t="n">
        <v>400</v>
      </c>
      <c r="E20" s="4">
        <f>C20*D20</f>
        <v/>
      </c>
      <c r="F20" s="2" t="inlineStr">
        <is>
          <t>Estimate</t>
        </is>
      </c>
      <c r="G20" s="2" t="inlineStr">
        <is>
          <t>Awaiting the print shop's answer (texts/print-enquiry.md)</t>
        </is>
      </c>
      <c r="H20" s="13" t="inlineStr">
        <is>
          <t>Yes</t>
        </is>
      </c>
    </row>
    <row r="21">
      <c r="A21" s="2" t="inlineStr">
        <is>
          <t>The event (2027)</t>
        </is>
      </c>
      <c r="B21" s="2" t="inlineStr">
        <is>
          <t>Screen print run</t>
        </is>
      </c>
      <c r="C21" s="13" t="n">
        <v>50</v>
      </c>
      <c r="D21" s="14" t="n">
        <v>10</v>
      </c>
      <c r="E21" s="4">
        <f>C21*D21</f>
        <v/>
      </c>
      <c r="F21" s="2" t="inlineStr">
        <is>
          <t>Estimate</t>
        </is>
      </c>
      <c r="G21" s="2" t="inlineStr">
        <is>
          <t>Edition size and price per print still open; sales may cover it</t>
        </is>
      </c>
      <c r="H21" s="13" t="inlineStr">
        <is>
          <t>Yes</t>
        </is>
      </c>
    </row>
    <row r="22">
      <c r="A22" s="2" t="inlineStr">
        <is>
          <t>Website, permissions, insurance</t>
        </is>
      </c>
      <c r="B22" s="2" t="inlineStr">
        <is>
          <t>Domain photovoltaic.art, first year</t>
        </is>
      </c>
      <c r="C22" s="13" t="n">
        <v>1</v>
      </c>
      <c r="D22" s="14" t="n">
        <v>30</v>
      </c>
      <c r="E22" s="4">
        <f>C22*D22</f>
        <v/>
      </c>
      <c r="F22" s="2" t="inlineStr">
        <is>
          <t>Estimate</t>
        </is>
      </c>
      <c r="G22" s="2" t="inlineStr">
        <is>
          <t>Check the renewal price (PVA TASKS.md)</t>
        </is>
      </c>
      <c r="H22" s="13" t="inlineStr">
        <is>
          <t>Yes</t>
        </is>
      </c>
    </row>
    <row r="23">
      <c r="A23" s="2" t="inlineStr">
        <is>
          <t>Website, permissions, insurance</t>
        </is>
      </c>
      <c r="B23" s="2" t="inlineStr">
        <is>
          <t>Public liability insurance, first year</t>
        </is>
      </c>
      <c r="C23" s="13" t="n">
        <v>1</v>
      </c>
      <c r="D23" s="14" t="n">
        <v>400</v>
      </c>
      <c r="E23" s="4">
        <f>C23*D23</f>
        <v/>
      </c>
      <c r="F23" s="2" t="inlineStr">
        <is>
          <t>Estimate</t>
        </is>
      </c>
      <c r="G23" s="2" t="inlineStr">
        <is>
          <t>Get a quote</t>
        </is>
      </c>
      <c r="H23" s="13" t="inlineStr">
        <is>
          <t>Yes</t>
        </is>
      </c>
    </row>
    <row r="24">
      <c r="A24" s="2" t="inlineStr">
        <is>
          <t>Website, permissions, insurance</t>
        </is>
      </c>
      <c r="B24" s="2" t="inlineStr">
        <is>
          <t>Permission costs (applications, stamps)</t>
        </is>
      </c>
      <c r="C24" s="13" t="n">
        <v>1</v>
      </c>
      <c r="D24" s="14" t="n">
        <v>100</v>
      </c>
      <c r="E24" s="4">
        <f>C24*D24</f>
        <v/>
      </c>
      <c r="F24" s="2" t="inlineStr">
        <is>
          <t>Estimate</t>
        </is>
      </c>
      <c r="G24" s="2" t="inlineStr">
        <is>
          <t>Depends on the route: patto di collaborazione or authorisation</t>
        </is>
      </c>
      <c r="H24" s="13" t="inlineStr">
        <is>
          <t>Yes</t>
        </is>
      </c>
    </row>
    <row r="25">
      <c r="A25" s="2" t="inlineStr">
        <is>
          <t>Shared and spares</t>
        </is>
      </c>
      <c r="B25" s="2" t="inlineStr">
        <is>
          <t>Spares: supercaps, coin cells, probe, fixings</t>
        </is>
      </c>
      <c r="C25" s="13" t="n">
        <v>1</v>
      </c>
      <c r="D25" s="14" t="n">
        <v>60</v>
      </c>
      <c r="E25" s="4">
        <f>C25*D25</f>
        <v/>
      </c>
      <c r="F25" s="2" t="inlineStr">
        <is>
          <t>Estimate</t>
        </is>
      </c>
      <c r="G25" s="2" t="inlineStr">
        <is>
          <t>SUNDIAL.md 5</t>
        </is>
      </c>
      <c r="H25" s="13" t="inlineStr">
        <is>
          <t>Yes</t>
        </is>
      </c>
    </row>
    <row r="26">
      <c r="A26" s="2" t="inlineStr">
        <is>
          <t>Shared and spares</t>
        </is>
      </c>
      <c r="B26" s="2" t="inlineStr">
        <is>
          <t>Bench supply and test leads</t>
        </is>
      </c>
      <c r="C26" s="13" t="n">
        <v>1</v>
      </c>
      <c r="D26" s="14" t="n">
        <v>60</v>
      </c>
      <c r="E26" s="4">
        <f>C26*D26</f>
        <v/>
      </c>
      <c r="F26" s="2" t="inlineStr">
        <is>
          <t>Estimate</t>
        </is>
      </c>
      <c r="G26" s="2" t="inlineStr">
        <is>
          <t>If not already owned</t>
        </is>
      </c>
      <c r="H26" s="13" t="inlineStr">
        <is>
          <t>Yes</t>
        </is>
      </c>
    </row>
    <row r="27">
      <c r="A27" s="2" t="inlineStr">
        <is>
          <t>Shared and spares</t>
        </is>
      </c>
      <c r="B27" s="2" t="inlineStr">
        <is>
          <t>Shipping</t>
        </is>
      </c>
      <c r="C27" s="13" t="n">
        <v>1</v>
      </c>
      <c r="D27" s="14" t="n">
        <v>100</v>
      </c>
      <c r="E27" s="4">
        <f>C27*D27</f>
        <v/>
      </c>
      <c r="F27" s="2" t="inlineStr">
        <is>
          <t>Estimate</t>
        </is>
      </c>
      <c r="G27" s="2" t="inlineStr"/>
      <c r="H27" s="13" t="inlineStr">
        <is>
          <t>Yes</t>
        </is>
      </c>
    </row>
    <row r="28">
      <c r="A28" s="2" t="inlineStr">
        <is>
          <t>Post option</t>
        </is>
      </c>
      <c r="B28" s="2" t="inlineStr">
        <is>
          <t>Steel post and base</t>
        </is>
      </c>
      <c r="C28" s="13" t="n">
        <v>1</v>
      </c>
      <c r="D28" s="14" t="n">
        <v>450</v>
      </c>
      <c r="E28" s="4">
        <f>C28*D28</f>
        <v/>
      </c>
      <c r="F28" s="2" t="inlineStr">
        <is>
          <t>Estimate</t>
        </is>
      </c>
      <c r="G28" s="2" t="inlineStr">
        <is>
          <t>Only where no wall works (POST.md)</t>
        </is>
      </c>
      <c r="H28" s="13" t="inlineStr">
        <is>
          <t>No</t>
        </is>
      </c>
    </row>
    <row r="29">
      <c r="A29" s="2" t="inlineStr">
        <is>
          <t>Post option</t>
        </is>
      </c>
      <c r="B29" s="2" t="inlineStr">
        <is>
          <t>Structural engineer's sign-off</t>
        </is>
      </c>
      <c r="C29" s="13" t="n">
        <v>1</v>
      </c>
      <c r="D29" s="14" t="n">
        <v>400</v>
      </c>
      <c r="E29" s="4">
        <f>C29*D29</f>
        <v/>
      </c>
      <c r="F29" s="2" t="inlineStr">
        <is>
          <t>Estimate</t>
        </is>
      </c>
      <c r="G29" s="2" t="inlineStr"/>
      <c r="H29" s="13" t="inlineStr">
        <is>
          <t>No</t>
        </is>
      </c>
    </row>
    <row r="30">
      <c r="A30" s="2" t="inlineStr">
        <is>
          <t>Post option</t>
        </is>
      </c>
      <c r="B30" s="2" t="inlineStr">
        <is>
          <t>USB-C PD charger module, sockets, shelf, plate</t>
        </is>
      </c>
      <c r="C30" s="13" t="n">
        <v>1</v>
      </c>
      <c r="D30" s="14" t="n">
        <v>110</v>
      </c>
      <c r="E30" s="4">
        <f>C30*D30</f>
        <v/>
      </c>
      <c r="F30" s="2" t="inlineStr">
        <is>
          <t>Estimate</t>
        </is>
      </c>
      <c r="G30" s="2" t="inlineStr"/>
      <c r="H30" s="13" t="inlineStr">
        <is>
          <t>No</t>
        </is>
      </c>
    </row>
    <row r="31">
      <c r="A31" s="2" t="inlineStr">
        <is>
          <t>Running, each year</t>
        </is>
      </c>
      <c r="B31" s="2" t="inlineStr">
        <is>
          <t>Insurance renewal</t>
        </is>
      </c>
      <c r="C31" s="13" t="n">
        <v>1</v>
      </c>
      <c r="D31" s="14" t="n">
        <v>400</v>
      </c>
      <c r="E31" s="4">
        <f>C31*D31</f>
        <v/>
      </c>
      <c r="F31" s="2" t="inlineStr">
        <is>
          <t>Estimate</t>
        </is>
      </c>
      <c r="G31" s="2" t="inlineStr"/>
      <c r="H31" s="13" t="inlineStr">
        <is>
          <t>Yes</t>
        </is>
      </c>
    </row>
    <row r="32">
      <c r="A32" s="2" t="inlineStr">
        <is>
          <t>Running, each year</t>
        </is>
      </c>
      <c r="B32" s="2" t="inlineStr">
        <is>
          <t>Domain renewal</t>
        </is>
      </c>
      <c r="C32" s="13" t="n">
        <v>1</v>
      </c>
      <c r="D32" s="14" t="n">
        <v>30</v>
      </c>
      <c r="E32" s="4">
        <f>C32*D32</f>
        <v/>
      </c>
      <c r="F32" s="2" t="inlineStr">
        <is>
          <t>Estimate</t>
        </is>
      </c>
      <c r="G32" s="2" t="inlineStr"/>
      <c r="H32" s="13" t="inlineStr">
        <is>
          <t>Yes</t>
        </is>
      </c>
    </row>
    <row r="33">
      <c r="A33" s="2" t="inlineStr">
        <is>
          <t>Running, each year</t>
        </is>
      </c>
      <c r="B33" s="2" t="inlineStr">
        <is>
          <t>Upkeep: coin cells, supercaps over time, cleaning</t>
        </is>
      </c>
      <c r="C33" s="13" t="n">
        <v>1</v>
      </c>
      <c r="D33" s="14" t="n">
        <v>60</v>
      </c>
      <c r="E33" s="4">
        <f>C33*D33</f>
        <v/>
      </c>
      <c r="F33" s="2" t="inlineStr">
        <is>
          <t>Estimate</t>
        </is>
      </c>
      <c r="G33" s="2" t="inlineStr"/>
      <c r="H33" s="13" t="inlineStr">
        <is>
          <t>Yes</t>
        </is>
      </c>
    </row>
    <row r="34">
      <c r="A34" s="2" t="inlineStr">
        <is>
          <t>Running, each year</t>
        </is>
      </c>
      <c r="B34" s="2" t="inlineStr">
        <is>
          <t>Screen print set-up for the year's print</t>
        </is>
      </c>
      <c r="C34" s="13" t="n">
        <v>1</v>
      </c>
      <c r="D34" s="14" t="n">
        <v>400</v>
      </c>
      <c r="E34" s="4">
        <f>C34*D34</f>
        <v/>
      </c>
      <c r="F34" s="2" t="inlineStr">
        <is>
          <t>Estimate</t>
        </is>
      </c>
      <c r="G34" s="2" t="inlineStr">
        <is>
          <t>Each event makes a new print</t>
        </is>
      </c>
      <c r="H34" s="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2026-10-29T21:46:09Z</dcterms:created>
  <dcterms:modified xmlns:dcterms="http://purl.org/dc/terms/" xmlns:xsi="http://www.w3.org/2001/XMLSchema-instance" xsi:type="dcterms:W3CDTF">2026-10-29T21:46:09Z</dcterms:modified>
</cp:coreProperties>
</file>