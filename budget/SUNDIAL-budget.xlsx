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i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<sst xmlns="http://schemas.openxmlformats.org/spreadsheetml/2006/main" count="181" uniqueCount="86">
  <si>
    <t xml:space="preserve">SUNDIAL: budget to build the nine panels</t>
  </si>
  <si>
    <t xml:space="preserve">Draft, 25 Oct 2026. Hardware, the first event, and yearly running costs (Sole and the event).</t>
  </si>
  <si>
    <t xml:space="preserve">Node</t>
  </si>
  <si>
    <t xml:space="preserve">Cost (€)</t>
  </si>
  <si>
    <t xml:space="preserve">Share</t>
  </si>
  <si>
    <t xml:space="preserve">Panels and boards</t>
  </si>
  <si>
    <t xml:space="preserve">Sundial hardware</t>
  </si>
  <si>
    <t xml:space="preserve">Mounting and plates</t>
  </si>
  <si>
    <t xml:space="preserve">The event (2027)</t>
  </si>
  <si>
    <t xml:space="preserve">Website, permissions, insurance</t>
  </si>
  <si>
    <t xml:space="preserve">Shared and spares</t>
  </si>
  <si>
    <t xml:space="preserve">Build subtotal</t>
  </si>
  <si>
    <t xml:space="preserve">Contingency</t>
  </si>
  <si>
    <t xml:space="preserve">Build total</t>
  </si>
  <si>
    <t xml:space="preserve">Each following year: insurance, domain, upkeep, the year's print</t>
  </si>
  <si>
    <t xml:space="preserve">Total to build and run the first year</t>
  </si>
  <si>
    <t xml:space="preserve">Contingency rate</t>
  </si>
  <si>
    <t xml:space="preserve">Option, not in the total:</t>
  </si>
  <si>
    <t xml:space="preserve">Post panel (in place of one wall)</t>
  </si>
  <si>
    <t xml:space="preserve">How to use it</t>
  </si>
  <si>
    <t xml:space="preserve">Edit only the blue cells: quantities, unit prices and Include (Yes/No) on the Lines sheet, and the contingency rate above (yellow).</t>
  </si>
  <si>
    <t xml:space="preserve">Basis on each line: Quote (from the supplier), Listed price (seen online, Oct 2026), Estimate (to be confirmed).</t>
  </si>
  <si>
    <t xml:space="preserve">Prices include VAT. The first year's insurance, domain and print are in the build cost; the yearly figure starts from the second year.</t>
  </si>
  <si>
    <t xml:space="preserve">To include a post panel, set its lines' Include to Yes on the Lines sheet.</t>
  </si>
  <si>
    <t xml:space="preserve">Not included: PVA's labour and travel; the print's sale income.</t>
  </si>
  <si>
    <t xml:space="preserve">Item</t>
  </si>
  <si>
    <t xml:space="preserve">Qty</t>
  </si>
  <si>
    <t xml:space="preserve">Unit (€)</t>
  </si>
  <si>
    <t xml:space="preserve">Total (€)</t>
  </si>
  <si>
    <t xml:space="preserve">Basis</t>
  </si>
  <si>
    <t xml:space="preserve">Source / note</t>
  </si>
  <si>
    <t xml:space="preserve">Include</t>
  </si>
  <si>
    <t xml:space="preserve">Retired PV panel, Trina TSM-185DC01 class (9 + 1 spare)</t>
  </si>
  <si>
    <t xml:space="preserve">Estimate</t>
  </si>
  <si>
    <t xml:space="preserve">Second-hand / end-of-life; may be donated. Source still to confirm</t>
  </si>
  <si>
    <t xml:space="preserve">Yes</t>
  </si>
  <si>
    <t xml:space="preserve">Board designer: schematic review, layout, files (CARRIER.md brief)</t>
  </si>
  <si>
    <t xml:space="preserve">One-off; get quotes (Italian/European design house)</t>
  </si>
  <si>
    <t xml:space="preserve">Carrier v1, small run of 5, assembled (bench test of the sun sensor)</t>
  </si>
  <si>
    <t xml:space="preserve">Small-run setup costs make v1 dear per board</t>
  </si>
  <si>
    <t xml:space="preserve">Carrier v2, run of 10, assembled (9 panels + 1 spare)</t>
  </si>
  <si>
    <t xml:space="preserve">CARRIER.md: order 5 of v1, fix, then 10 of v2</t>
  </si>
  <si>
    <t xml:space="preserve">ELEGOO ESP32 30-pin dev boards (v1 bench + v2)</t>
  </si>
  <si>
    <t xml:space="preserve">Buck converter modules (8–60 V in, 5 V out)</t>
  </si>
  <si>
    <t xml:space="preserve">Supercapacitor pairs (2 x 10 F), DS18B20 probe, CR2032</t>
  </si>
  <si>
    <t xml:space="preserve">IP65 box, glands, breather vent, tamper screws</t>
  </si>
  <si>
    <t xml:space="preserve">CARRIER.md: about 150 x 110 x 70 mm</t>
  </si>
  <si>
    <t xml:space="preserve">Cable, fuses, terminals</t>
  </si>
  <si>
    <t xml:space="preserve">Gnomon: 15 mm aluminium tube, 60 cm, TIG-welded to its mount</t>
  </si>
  <si>
    <t xml:space="preserve">Local fabrication; GNOMON.md</t>
  </si>
  <si>
    <t xml:space="preserve">Hour brackets (13 per panel, aluminium angle) and vinyl numbers</t>
  </si>
  <si>
    <t xml:space="preserve">Stand-offs (aluminium angle) and M6 stainless fixings</t>
  </si>
  <si>
    <t xml:space="preserve">Hour-line tape test (pilot panel)</t>
  </si>
  <si>
    <t xml:space="preserve">README to-do</t>
  </si>
  <si>
    <t xml:space="preserve">Wall fixings (anchors, brackets)</t>
  </si>
  <si>
    <t xml:space="preserve">Wall plate: number and QR code</t>
  </si>
  <si>
    <t xml:space="preserve">Girasole: dwarf sunflowers, pots, soil</t>
  </si>
  <si>
    <t xml:space="preserve">Girasole: chalkboard, stand, ochre and blue chalk</t>
  </si>
  <si>
    <t xml:space="preserve">Flyers</t>
  </si>
  <si>
    <t xml:space="preserve">Screen print set-up: four screens and films</t>
  </si>
  <si>
    <t xml:space="preserve">Awaiting the print shop's answer (texts/print-enquiry.md)</t>
  </si>
  <si>
    <t xml:space="preserve">Screen print run</t>
  </si>
  <si>
    <t xml:space="preserve">Edition size and price per print still open; sales may cover it</t>
  </si>
  <si>
    <t xml:space="preserve">Domain photovoltaic.art, first year</t>
  </si>
  <si>
    <t xml:space="preserve">Check the renewal price (PVA TASKS.md)</t>
  </si>
  <si>
    <t xml:space="preserve">Public liability insurance, first year</t>
  </si>
  <si>
    <t xml:space="preserve">Get a quote</t>
  </si>
  <si>
    <t xml:space="preserve">Permission costs (applications, stamps)</t>
  </si>
  <si>
    <t xml:space="preserve">Depends on the route: patto di collaborazione or authorisation</t>
  </si>
  <si>
    <t xml:space="preserve">Spares: supercaps, coin cells, probe, fixings</t>
  </si>
  <si>
    <t xml:space="preserve">SUNDIAL.md 5</t>
  </si>
  <si>
    <t xml:space="preserve">Bench supply and test leads</t>
  </si>
  <si>
    <t xml:space="preserve">If not already owned</t>
  </si>
  <si>
    <t xml:space="preserve">Shipping</t>
  </si>
  <si>
    <t xml:space="preserve">Post option</t>
  </si>
  <si>
    <t xml:space="preserve">Steel post and base</t>
  </si>
  <si>
    <t xml:space="preserve">Only where no wall works (POST.md)</t>
  </si>
  <si>
    <t xml:space="preserve">No</t>
  </si>
  <si>
    <t xml:space="preserve">Structural engineer's sign-off</t>
  </si>
  <si>
    <t xml:space="preserve">USB-C PD charger module, sockets, shelf, plate</t>
  </si>
  <si>
    <t xml:space="preserve">Running, each year</t>
  </si>
  <si>
    <t xml:space="preserve">Insurance renewal</t>
  </si>
  <si>
    <t xml:space="preserve">Domain renewal</t>
  </si>
  <si>
    <t xml:space="preserve">Upkeep: coin cells, supercaps over time, cleaning</t>
  </si>
  <si>
    <t xml:space="preserve">Screen print set-up for the year's print</t>
  </si>
  <si>
    <t xml:space="preserve">Each event makes a new print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</si>
</sst>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€#,##0;&quot;(€&quot;#,##0\);\-"/>
    <numFmt numFmtId="166" formatCode="0.0%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A3A3A"/>
        <bgColor rgb="FF333300"/>
      </patternFill>
    </fill>
    <fill>
      <patternFill patternType="solid">
        <fgColor rgb="FFFFF2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BBBB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SUMIFS(Lines!$E$2:$E$34,Lines!$A$2:$A$34,A5,Lines!$H$2:$H$34,"Yes")</f>
        <v>3200</v>
      </c>
      <c r="C5" s="5" t="n">
        <f aca="false">IFERROR(B5/$B$11,0)</f>
        <v>0.50314465408805</v>
      </c>
    </row>
    <row r="6" customFormat="false" ht="15" hidden="false" customHeight="false" outlineLevel="0" collapsed="false">
      <c r="A6" s="2" t="s">
        <v>6</v>
      </c>
      <c r="B6" s="4" t="n">
        <f aca="false">SUMIFS(Lines!$E$2:$E$34,Lines!$A$2:$A$34,A6,Lines!$H$2:$H$34,"Yes")</f>
        <v>875</v>
      </c>
      <c r="C6" s="5" t="n">
        <f aca="false">IFERROR(B6/$B$11,0)</f>
        <v>0.137578616352201</v>
      </c>
    </row>
    <row r="7" customFormat="false" ht="15" hidden="false" customHeight="false" outlineLevel="0" collapsed="false">
      <c r="A7" s="2" t="s">
        <v>7</v>
      </c>
      <c r="B7" s="4" t="n">
        <f aca="false">SUMIFS(Lines!$E$2:$E$34,Lines!$A$2:$A$34,A7,Lines!$H$2:$H$34,"Yes")</f>
        <v>405</v>
      </c>
      <c r="C7" s="5" t="n">
        <f aca="false">IFERROR(B7/$B$11,0)</f>
        <v>0.0636792452830189</v>
      </c>
    </row>
    <row r="8" customFormat="false" ht="15" hidden="false" customHeight="false" outlineLevel="0" collapsed="false">
      <c r="A8" s="2" t="s">
        <v>8</v>
      </c>
      <c r="B8" s="4" t="n">
        <f aca="false">SUMIFS(Lines!$E$2:$E$34,Lines!$A$2:$A$34,A8,Lines!$H$2:$H$34,"Yes")</f>
        <v>1130</v>
      </c>
      <c r="C8" s="5" t="n">
        <f aca="false">IFERROR(B8/$B$11,0)</f>
        <v>0.177672955974843</v>
      </c>
    </row>
    <row r="9" customFormat="false" ht="15" hidden="false" customHeight="false" outlineLevel="0" collapsed="false">
      <c r="A9" s="2" t="s">
        <v>9</v>
      </c>
      <c r="B9" s="4" t="n">
        <f aca="false">SUMIFS(Lines!$E$2:$E$34,Lines!$A$2:$A$34,A9,Lines!$H$2:$H$34,"Yes")</f>
        <v>530</v>
      </c>
      <c r="C9" s="5" t="n">
        <f aca="false">IFERROR(B9/$B$11,0)</f>
        <v>0.0833333333333333</v>
      </c>
    </row>
    <row r="10" customFormat="false" ht="15" hidden="false" customHeight="false" outlineLevel="0" collapsed="false">
      <c r="A10" s="2" t="s">
        <v>10</v>
      </c>
      <c r="B10" s="4" t="n">
        <f aca="false">SUMIFS(Lines!$E$2:$E$34,Lines!$A$2:$A$34,A10,Lines!$H$2:$H$34,"Yes")</f>
        <v>220</v>
      </c>
      <c r="C10" s="5" t="n">
        <f aca="false">IFERROR(B10/$B$11,0)</f>
        <v>0.0345911949685535</v>
      </c>
    </row>
    <row r="11" customFormat="false" ht="15" hidden="false" customHeight="false" outlineLevel="0" collapsed="false">
      <c r="A11" s="6" t="s">
        <v>11</v>
      </c>
      <c r="B11" s="7" t="n">
        <f aca="false">SUM(B5:B10)</f>
        <v>6360</v>
      </c>
      <c r="C11" s="8"/>
    </row>
    <row r="12" customFormat="false" ht="15" hidden="false" customHeight="false" outlineLevel="0" collapsed="false">
      <c r="A12" s="2" t="s">
        <v>12</v>
      </c>
      <c r="B12" s="4" t="n">
        <f aca="false">B11*B17</f>
        <v>954</v>
      </c>
    </row>
    <row r="13" customFormat="false" ht="15" hidden="false" customHeight="false" outlineLevel="0" collapsed="false">
      <c r="A13" s="6" t="s">
        <v>13</v>
      </c>
      <c r="B13" s="7" t="n">
        <f aca="false">B11+B12</f>
        <v>7314</v>
      </c>
      <c r="C13" s="8"/>
    </row>
    <row r="14" customFormat="false" ht="15" hidden="false" customHeight="false" outlineLevel="0" collapsed="false">
      <c r="A14" s="2" t="s">
        <v>14</v>
      </c>
      <c r="B14" s="4" t="n">
        <f aca="false">SUMIFS(Lines!$E$2:$E$34,Lines!$A$2:$A$34,"Running, each year",Lines!$H$2:$H$34,"Yes")</f>
        <v>890</v>
      </c>
    </row>
    <row r="15" customFormat="false" ht="15" hidden="false" customHeight="false" outlineLevel="0" collapsed="false">
      <c r="A15" s="9" t="s">
        <v>15</v>
      </c>
      <c r="B15" s="10" t="n">
        <f aca="false">B13</f>
        <v>7314</v>
      </c>
      <c r="C15" s="8"/>
    </row>
    <row r="17" customFormat="false" ht="15" hidden="false" customHeight="false" outlineLevel="0" collapsed="false">
      <c r="A17" s="2" t="s">
        <v>16</v>
      </c>
      <c r="B17" s="11" t="n">
        <v>0.15</v>
      </c>
    </row>
    <row r="19" customFormat="false" ht="15" hidden="false" customHeight="false" outlineLevel="0" collapsed="false">
      <c r="A19" s="12" t="s">
        <v>17</v>
      </c>
    </row>
    <row r="20" customFormat="false" ht="15" hidden="false" customHeight="false" outlineLevel="0" collapsed="false">
      <c r="A20" s="2" t="s">
        <v>18</v>
      </c>
      <c r="B20" s="4" t="n">
        <f aca="false">SUMIFS(Lines!$E$2:$E$34,Lines!$A$2:$A$34,"Post option")</f>
        <v>960</v>
      </c>
    </row>
    <row r="22" customFormat="false" ht="15" hidden="false" customHeight="false" outlineLevel="0" collapsed="false">
      <c r="A22" s="12" t="s">
        <v>19</v>
      </c>
    </row>
    <row r="23" customFormat="false" ht="15" hidden="false" customHeight="false" outlineLevel="0" collapsed="false">
      <c r="A23" s="2" t="s">
        <v>20</v>
      </c>
    </row>
    <row r="24" customFormat="false" ht="15" hidden="false" customHeight="false" outlineLevel="0" collapsed="false">
      <c r="A24" s="2" t="s">
        <v>21</v>
      </c>
    </row>
    <row r="25" customFormat="false" ht="15" hidden="false" customHeight="false" outlineLevel="0" collapsed="false">
      <c r="A25" s="2" t="s">
        <v>22</v>
      </c>
    </row>
    <row r="26" customFormat="false" ht="15" hidden="false" customHeight="false" outlineLevel="0" collapsed="false">
      <c r="A26" s="2" t="s">
        <v>23</v>
      </c>
    </row>
    <row r="27" customFormat="false" ht="15" hidden="false" customHeight="false" outlineLevel="0" collapsed="false">
      <c r="A27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70"/>
    <col collapsed="false" customWidth="true" hidden="false" outlineLevel="0" max="8" min="8" style="0" width="9"/>
  </cols>
  <sheetData>
    <row r="1" customFormat="false" ht="15" hidden="false" customHeight="false" outlineLevel="0" collapsed="false">
      <c r="A1" s="3" t="s">
        <v>2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</row>
    <row r="2" customFormat="false" ht="15" hidden="false" customHeight="false" outlineLevel="0" collapsed="false">
      <c r="A2" s="2" t="s">
        <v>5</v>
      </c>
      <c r="B2" s="2" t="s">
        <v>32</v>
      </c>
      <c r="C2" s="13" t="n">
        <v>10</v>
      </c>
      <c r="D2" s="14" t="n">
        <v>30</v>
      </c>
      <c r="E2" s="4" t="n">
        <f aca="false">C2*D2</f>
        <v>300</v>
      </c>
      <c r="F2" s="2" t="s">
        <v>33</v>
      </c>
      <c r="G2" s="2" t="s">
        <v>34</v>
      </c>
      <c r="H2" s="13" t="s">
        <v>35</v>
      </c>
    </row>
    <row r="3" customFormat="false" ht="15" hidden="false" customHeight="false" outlineLevel="0" collapsed="false">
      <c r="A3" s="2" t="s">
        <v>5</v>
      </c>
      <c r="B3" s="2" t="s">
        <v>36</v>
      </c>
      <c r="C3" s="13" t="n">
        <v>1</v>
      </c>
      <c r="D3" s="14" t="n">
        <v>1000</v>
      </c>
      <c r="E3" s="4" t="n">
        <f aca="false">C3*D3</f>
        <v>1000</v>
      </c>
      <c r="F3" s="2" t="s">
        <v>33</v>
      </c>
      <c r="G3" s="2" t="s">
        <v>37</v>
      </c>
      <c r="H3" s="13" t="s">
        <v>35</v>
      </c>
    </row>
    <row r="4" customFormat="false" ht="15" hidden="false" customHeight="false" outlineLevel="0" collapsed="false">
      <c r="A4" s="2" t="s">
        <v>5</v>
      </c>
      <c r="B4" s="2" t="s">
        <v>38</v>
      </c>
      <c r="C4" s="13" t="n">
        <v>5</v>
      </c>
      <c r="D4" s="14" t="n">
        <v>100</v>
      </c>
      <c r="E4" s="4" t="n">
        <f aca="false">C4*D4</f>
        <v>500</v>
      </c>
      <c r="F4" s="2" t="s">
        <v>33</v>
      </c>
      <c r="G4" s="2" t="s">
        <v>39</v>
      </c>
      <c r="H4" s="13" t="s">
        <v>35</v>
      </c>
    </row>
    <row r="5" customFormat="false" ht="15" hidden="false" customHeight="false" outlineLevel="0" collapsed="false">
      <c r="A5" s="2" t="s">
        <v>5</v>
      </c>
      <c r="B5" s="2" t="s">
        <v>40</v>
      </c>
      <c r="C5" s="13" t="n">
        <v>10</v>
      </c>
      <c r="D5" s="14" t="n">
        <v>60</v>
      </c>
      <c r="E5" s="4" t="n">
        <f aca="false">C5*D5</f>
        <v>600</v>
      </c>
      <c r="F5" s="2" t="s">
        <v>33</v>
      </c>
      <c r="G5" s="2" t="s">
        <v>41</v>
      </c>
      <c r="H5" s="13" t="s">
        <v>35</v>
      </c>
    </row>
    <row r="6" customFormat="false" ht="15" hidden="false" customHeight="false" outlineLevel="0" collapsed="false">
      <c r="A6" s="2" t="s">
        <v>5</v>
      </c>
      <c r="B6" s="2" t="s">
        <v>42</v>
      </c>
      <c r="C6" s="13" t="n">
        <v>15</v>
      </c>
      <c r="D6" s="14" t="n">
        <v>9</v>
      </c>
      <c r="E6" s="4" t="n">
        <f aca="false">C6*D6</f>
        <v>135</v>
      </c>
      <c r="F6" s="2" t="s">
        <v>33</v>
      </c>
      <c r="G6" s="2"/>
      <c r="H6" s="13" t="s">
        <v>35</v>
      </c>
    </row>
    <row r="7" customFormat="false" ht="15" hidden="false" customHeight="false" outlineLevel="0" collapsed="false">
      <c r="A7" s="2" t="s">
        <v>5</v>
      </c>
      <c r="B7" s="2" t="s">
        <v>43</v>
      </c>
      <c r="C7" s="13" t="n">
        <v>15</v>
      </c>
      <c r="D7" s="14" t="n">
        <v>5</v>
      </c>
      <c r="E7" s="4" t="n">
        <f aca="false">C7*D7</f>
        <v>75</v>
      </c>
      <c r="F7" s="2" t="s">
        <v>33</v>
      </c>
      <c r="G7" s="2"/>
      <c r="H7" s="13" t="s">
        <v>35</v>
      </c>
    </row>
    <row r="8" customFormat="false" ht="15" hidden="false" customHeight="false" outlineLevel="0" collapsed="false">
      <c r="A8" s="2" t="s">
        <v>5</v>
      </c>
      <c r="B8" s="2" t="s">
        <v>44</v>
      </c>
      <c r="C8" s="13" t="n">
        <v>10</v>
      </c>
      <c r="D8" s="14" t="n">
        <v>12</v>
      </c>
      <c r="E8" s="4" t="n">
        <f aca="false">C8*D8</f>
        <v>120</v>
      </c>
      <c r="F8" s="2" t="s">
        <v>33</v>
      </c>
      <c r="G8" s="2"/>
      <c r="H8" s="13" t="s">
        <v>35</v>
      </c>
    </row>
    <row r="9" customFormat="false" ht="15" hidden="false" customHeight="false" outlineLevel="0" collapsed="false">
      <c r="A9" s="2" t="s">
        <v>5</v>
      </c>
      <c r="B9" s="2" t="s">
        <v>45</v>
      </c>
      <c r="C9" s="13" t="n">
        <v>10</v>
      </c>
      <c r="D9" s="14" t="n">
        <v>32</v>
      </c>
      <c r="E9" s="4" t="n">
        <f aca="false">C9*D9</f>
        <v>320</v>
      </c>
      <c r="F9" s="2" t="s">
        <v>33</v>
      </c>
      <c r="G9" s="2" t="s">
        <v>46</v>
      </c>
      <c r="H9" s="13" t="s">
        <v>35</v>
      </c>
    </row>
    <row r="10" customFormat="false" ht="15" hidden="false" customHeight="false" outlineLevel="0" collapsed="false">
      <c r="A10" s="2" t="s">
        <v>5</v>
      </c>
      <c r="B10" s="2" t="s">
        <v>47</v>
      </c>
      <c r="C10" s="13" t="n">
        <v>10</v>
      </c>
      <c r="D10" s="14" t="n">
        <v>15</v>
      </c>
      <c r="E10" s="4" t="n">
        <f aca="false">C10*D10</f>
        <v>150</v>
      </c>
      <c r="F10" s="2" t="s">
        <v>33</v>
      </c>
      <c r="G10" s="2"/>
      <c r="H10" s="13" t="s">
        <v>35</v>
      </c>
    </row>
    <row r="11" customFormat="false" ht="15" hidden="false" customHeight="false" outlineLevel="0" collapsed="false">
      <c r="A11" s="2" t="s">
        <v>6</v>
      </c>
      <c r="B11" s="2" t="s">
        <v>48</v>
      </c>
      <c r="C11" s="13" t="n">
        <v>9</v>
      </c>
      <c r="D11" s="14" t="n">
        <v>40</v>
      </c>
      <c r="E11" s="4" t="n">
        <f aca="false">C11*D11</f>
        <v>360</v>
      </c>
      <c r="F11" s="2" t="s">
        <v>33</v>
      </c>
      <c r="G11" s="2" t="s">
        <v>49</v>
      </c>
      <c r="H11" s="13" t="s">
        <v>35</v>
      </c>
    </row>
    <row r="12" customFormat="false" ht="15" hidden="false" customHeight="false" outlineLevel="0" collapsed="false">
      <c r="A12" s="2" t="s">
        <v>6</v>
      </c>
      <c r="B12" s="2" t="s">
        <v>50</v>
      </c>
      <c r="C12" s="13" t="n">
        <v>9</v>
      </c>
      <c r="D12" s="14" t="n">
        <v>25</v>
      </c>
      <c r="E12" s="4" t="n">
        <f aca="false">C12*D12</f>
        <v>225</v>
      </c>
      <c r="F12" s="2" t="s">
        <v>33</v>
      </c>
      <c r="G12" s="2"/>
      <c r="H12" s="13" t="s">
        <v>35</v>
      </c>
    </row>
    <row r="13" customFormat="false" ht="15" hidden="false" customHeight="false" outlineLevel="0" collapsed="false">
      <c r="A13" s="2" t="s">
        <v>6</v>
      </c>
      <c r="B13" s="2" t="s">
        <v>51</v>
      </c>
      <c r="C13" s="13" t="n">
        <v>9</v>
      </c>
      <c r="D13" s="14" t="n">
        <v>30</v>
      </c>
      <c r="E13" s="4" t="n">
        <f aca="false">C13*D13</f>
        <v>270</v>
      </c>
      <c r="F13" s="2" t="s">
        <v>33</v>
      </c>
      <c r="G13" s="2"/>
      <c r="H13" s="13" t="s">
        <v>35</v>
      </c>
    </row>
    <row r="14" customFormat="false" ht="15" hidden="false" customHeight="false" outlineLevel="0" collapsed="false">
      <c r="A14" s="2" t="s">
        <v>6</v>
      </c>
      <c r="B14" s="2" t="s">
        <v>52</v>
      </c>
      <c r="C14" s="13" t="n">
        <v>1</v>
      </c>
      <c r="D14" s="14" t="n">
        <v>20</v>
      </c>
      <c r="E14" s="4" t="n">
        <f aca="false">C14*D14</f>
        <v>20</v>
      </c>
      <c r="F14" s="2" t="s">
        <v>33</v>
      </c>
      <c r="G14" s="2" t="s">
        <v>53</v>
      </c>
      <c r="H14" s="13" t="s">
        <v>35</v>
      </c>
    </row>
    <row r="15" customFormat="false" ht="15" hidden="false" customHeight="false" outlineLevel="0" collapsed="false">
      <c r="A15" s="2" t="s">
        <v>7</v>
      </c>
      <c r="B15" s="2" t="s">
        <v>54</v>
      </c>
      <c r="C15" s="13" t="n">
        <v>9</v>
      </c>
      <c r="D15" s="14" t="n">
        <v>25</v>
      </c>
      <c r="E15" s="4" t="n">
        <f aca="false">C15*D15</f>
        <v>225</v>
      </c>
      <c r="F15" s="2" t="s">
        <v>33</v>
      </c>
      <c r="G15" s="2"/>
      <c r="H15" s="13" t="s">
        <v>35</v>
      </c>
    </row>
    <row r="16" customFormat="false" ht="15" hidden="false" customHeight="false" outlineLevel="0" collapsed="false">
      <c r="A16" s="2" t="s">
        <v>7</v>
      </c>
      <c r="B16" s="2" t="s">
        <v>55</v>
      </c>
      <c r="C16" s="13" t="n">
        <v>9</v>
      </c>
      <c r="D16" s="14" t="n">
        <v>20</v>
      </c>
      <c r="E16" s="4" t="n">
        <f aca="false">C16*D16</f>
        <v>180</v>
      </c>
      <c r="F16" s="2" t="s">
        <v>33</v>
      </c>
      <c r="G16" s="2"/>
      <c r="H16" s="13" t="s">
        <v>35</v>
      </c>
    </row>
    <row r="17" customFormat="false" ht="15" hidden="false" customHeight="false" outlineLevel="0" collapsed="false">
      <c r="A17" s="2" t="s">
        <v>8</v>
      </c>
      <c r="B17" s="2" t="s">
        <v>56</v>
      </c>
      <c r="C17" s="13" t="n">
        <v>1</v>
      </c>
      <c r="D17" s="14" t="n">
        <v>40</v>
      </c>
      <c r="E17" s="4" t="n">
        <f aca="false">C17*D17</f>
        <v>40</v>
      </c>
      <c r="F17" s="2" t="s">
        <v>33</v>
      </c>
      <c r="G17" s="2"/>
      <c r="H17" s="13" t="s">
        <v>35</v>
      </c>
    </row>
    <row r="18" customFormat="false" ht="15" hidden="false" customHeight="false" outlineLevel="0" collapsed="false">
      <c r="A18" s="2" t="s">
        <v>8</v>
      </c>
      <c r="B18" s="2" t="s">
        <v>57</v>
      </c>
      <c r="C18" s="13" t="n">
        <v>1</v>
      </c>
      <c r="D18" s="14" t="n">
        <v>90</v>
      </c>
      <c r="E18" s="4" t="n">
        <f aca="false">C18*D18</f>
        <v>90</v>
      </c>
      <c r="F18" s="2" t="s">
        <v>33</v>
      </c>
      <c r="G18" s="2"/>
      <c r="H18" s="13" t="s">
        <v>35</v>
      </c>
    </row>
    <row r="19" customFormat="false" ht="15" hidden="false" customHeight="false" outlineLevel="0" collapsed="false">
      <c r="A19" s="2" t="s">
        <v>8</v>
      </c>
      <c r="B19" s="2" t="s">
        <v>58</v>
      </c>
      <c r="C19" s="13" t="n">
        <v>1</v>
      </c>
      <c r="D19" s="14" t="n">
        <v>100</v>
      </c>
      <c r="E19" s="4" t="n">
        <f aca="false">C19*D19</f>
        <v>100</v>
      </c>
      <c r="F19" s="2" t="s">
        <v>33</v>
      </c>
      <c r="G19" s="2"/>
      <c r="H19" s="13" t="s">
        <v>35</v>
      </c>
    </row>
    <row r="20" customFormat="false" ht="15" hidden="false" customHeight="false" outlineLevel="0" collapsed="false">
      <c r="A20" s="2" t="s">
        <v>8</v>
      </c>
      <c r="B20" s="2" t="s">
        <v>59</v>
      </c>
      <c r="C20" s="13" t="n">
        <v>1</v>
      </c>
      <c r="D20" s="14" t="n">
        <v>400</v>
      </c>
      <c r="E20" s="4" t="n">
        <f aca="false">C20*D20</f>
        <v>400</v>
      </c>
      <c r="F20" s="2" t="s">
        <v>33</v>
      </c>
      <c r="G20" s="2" t="s">
        <v>60</v>
      </c>
      <c r="H20" s="13" t="s">
        <v>35</v>
      </c>
    </row>
    <row r="21" customFormat="false" ht="15" hidden="false" customHeight="false" outlineLevel="0" collapsed="false">
      <c r="A21" s="2" t="s">
        <v>8</v>
      </c>
      <c r="B21" s="2" t="s">
        <v>61</v>
      </c>
      <c r="C21" s="13" t="n">
        <v>50</v>
      </c>
      <c r="D21" s="14" t="n">
        <v>10</v>
      </c>
      <c r="E21" s="4" t="n">
        <f aca="false">C21*D21</f>
        <v>500</v>
      </c>
      <c r="F21" s="2" t="s">
        <v>33</v>
      </c>
      <c r="G21" s="2" t="s">
        <v>62</v>
      </c>
      <c r="H21" s="13" t="s">
        <v>35</v>
      </c>
    </row>
    <row r="22" customFormat="false" ht="15" hidden="false" customHeight="false" outlineLevel="0" collapsed="false">
      <c r="A22" s="2" t="s">
        <v>9</v>
      </c>
      <c r="B22" s="2" t="s">
        <v>63</v>
      </c>
      <c r="C22" s="13" t="n">
        <v>1</v>
      </c>
      <c r="D22" s="14" t="n">
        <v>30</v>
      </c>
      <c r="E22" s="4" t="n">
        <f aca="false">C22*D22</f>
        <v>30</v>
      </c>
      <c r="F22" s="2" t="s">
        <v>33</v>
      </c>
      <c r="G22" s="2" t="s">
        <v>64</v>
      </c>
      <c r="H22" s="13" t="s">
        <v>35</v>
      </c>
    </row>
    <row r="23" customFormat="false" ht="15" hidden="false" customHeight="false" outlineLevel="0" collapsed="false">
      <c r="A23" s="2" t="s">
        <v>9</v>
      </c>
      <c r="B23" s="2" t="s">
        <v>65</v>
      </c>
      <c r="C23" s="13" t="n">
        <v>1</v>
      </c>
      <c r="D23" s="14" t="n">
        <v>400</v>
      </c>
      <c r="E23" s="4" t="n">
        <f aca="false">C23*D23</f>
        <v>400</v>
      </c>
      <c r="F23" s="2" t="s">
        <v>33</v>
      </c>
      <c r="G23" s="2" t="s">
        <v>66</v>
      </c>
      <c r="H23" s="13" t="s">
        <v>35</v>
      </c>
    </row>
    <row r="24" customFormat="false" ht="15" hidden="false" customHeight="false" outlineLevel="0" collapsed="false">
      <c r="A24" s="2" t="s">
        <v>9</v>
      </c>
      <c r="B24" s="2" t="s">
        <v>67</v>
      </c>
      <c r="C24" s="13" t="n">
        <v>1</v>
      </c>
      <c r="D24" s="14" t="n">
        <v>100</v>
      </c>
      <c r="E24" s="4" t="n">
        <f aca="false">C24*D24</f>
        <v>100</v>
      </c>
      <c r="F24" s="2" t="s">
        <v>33</v>
      </c>
      <c r="G24" s="2" t="s">
        <v>68</v>
      </c>
      <c r="H24" s="13" t="s">
        <v>35</v>
      </c>
    </row>
    <row r="25" customFormat="false" ht="15" hidden="false" customHeight="false" outlineLevel="0" collapsed="false">
      <c r="A25" s="2" t="s">
        <v>10</v>
      </c>
      <c r="B25" s="2" t="s">
        <v>69</v>
      </c>
      <c r="C25" s="13" t="n">
        <v>1</v>
      </c>
      <c r="D25" s="14" t="n">
        <v>60</v>
      </c>
      <c r="E25" s="4" t="n">
        <f aca="false">C25*D25</f>
        <v>60</v>
      </c>
      <c r="F25" s="2" t="s">
        <v>33</v>
      </c>
      <c r="G25" s="2" t="s">
        <v>70</v>
      </c>
      <c r="H25" s="13" t="s">
        <v>35</v>
      </c>
    </row>
    <row r="26" customFormat="false" ht="15" hidden="false" customHeight="false" outlineLevel="0" collapsed="false">
      <c r="A26" s="2" t="s">
        <v>10</v>
      </c>
      <c r="B26" s="2" t="s">
        <v>71</v>
      </c>
      <c r="C26" s="13" t="n">
        <v>1</v>
      </c>
      <c r="D26" s="14" t="n">
        <v>60</v>
      </c>
      <c r="E26" s="4" t="n">
        <f aca="false">C26*D26</f>
        <v>60</v>
      </c>
      <c r="F26" s="2" t="s">
        <v>33</v>
      </c>
      <c r="G26" s="2" t="s">
        <v>72</v>
      </c>
      <c r="H26" s="13" t="s">
        <v>35</v>
      </c>
    </row>
    <row r="27" customFormat="false" ht="15" hidden="false" customHeight="false" outlineLevel="0" collapsed="false">
      <c r="A27" s="2" t="s">
        <v>10</v>
      </c>
      <c r="B27" s="2" t="s">
        <v>73</v>
      </c>
      <c r="C27" s="13" t="n">
        <v>1</v>
      </c>
      <c r="D27" s="14" t="n">
        <v>100</v>
      </c>
      <c r="E27" s="4" t="n">
        <f aca="false">C27*D27</f>
        <v>100</v>
      </c>
      <c r="F27" s="2" t="s">
        <v>33</v>
      </c>
      <c r="G27" s="2"/>
      <c r="H27" s="13" t="s">
        <v>35</v>
      </c>
    </row>
    <row r="28" customFormat="false" ht="15" hidden="false" customHeight="false" outlineLevel="0" collapsed="false">
      <c r="A28" s="2" t="s">
        <v>74</v>
      </c>
      <c r="B28" s="2" t="s">
        <v>75</v>
      </c>
      <c r="C28" s="13" t="n">
        <v>1</v>
      </c>
      <c r="D28" s="14" t="n">
        <v>450</v>
      </c>
      <c r="E28" s="4" t="n">
        <f aca="false">C28*D28</f>
        <v>450</v>
      </c>
      <c r="F28" s="2" t="s">
        <v>33</v>
      </c>
      <c r="G28" s="2" t="s">
        <v>76</v>
      </c>
      <c r="H28" s="13" t="s">
        <v>77</v>
      </c>
    </row>
    <row r="29" customFormat="false" ht="15" hidden="false" customHeight="false" outlineLevel="0" collapsed="false">
      <c r="A29" s="2" t="s">
        <v>74</v>
      </c>
      <c r="B29" s="2" t="s">
        <v>78</v>
      </c>
      <c r="C29" s="13" t="n">
        <v>1</v>
      </c>
      <c r="D29" s="14" t="n">
        <v>400</v>
      </c>
      <c r="E29" s="4" t="n">
        <f aca="false">C29*D29</f>
        <v>400</v>
      </c>
      <c r="F29" s="2" t="s">
        <v>33</v>
      </c>
      <c r="G29" s="2"/>
      <c r="H29" s="13" t="s">
        <v>77</v>
      </c>
    </row>
    <row r="30" customFormat="false" ht="15" hidden="false" customHeight="false" outlineLevel="0" collapsed="false">
      <c r="A30" s="2" t="s">
        <v>74</v>
      </c>
      <c r="B30" s="2" t="s">
        <v>79</v>
      </c>
      <c r="C30" s="13" t="n">
        <v>1</v>
      </c>
      <c r="D30" s="14" t="n">
        <v>110</v>
      </c>
      <c r="E30" s="4" t="n">
        <f aca="false">C30*D30</f>
        <v>110</v>
      </c>
      <c r="F30" s="2" t="s">
        <v>33</v>
      </c>
      <c r="G30" s="2"/>
      <c r="H30" s="13" t="s">
        <v>77</v>
      </c>
    </row>
    <row r="31" customFormat="false" ht="15" hidden="false" customHeight="false" outlineLevel="0" collapsed="false">
      <c r="A31" s="2" t="s">
        <v>80</v>
      </c>
      <c r="B31" s="2" t="s">
        <v>81</v>
      </c>
      <c r="C31" s="13" t="n">
        <v>1</v>
      </c>
      <c r="D31" s="14" t="n">
        <v>400</v>
      </c>
      <c r="E31" s="4" t="n">
        <f aca="false">C31*D31</f>
        <v>400</v>
      </c>
      <c r="F31" s="2" t="s">
        <v>33</v>
      </c>
      <c r="G31" s="2"/>
      <c r="H31" s="13" t="s">
        <v>35</v>
      </c>
    </row>
    <row r="32" customFormat="false" ht="15" hidden="false" customHeight="false" outlineLevel="0" collapsed="false">
      <c r="A32" s="2" t="s">
        <v>80</v>
      </c>
      <c r="B32" s="2" t="s">
        <v>82</v>
      </c>
      <c r="C32" s="13" t="n">
        <v>1</v>
      </c>
      <c r="D32" s="14" t="n">
        <v>30</v>
      </c>
      <c r="E32" s="4" t="n">
        <f aca="false">C32*D32</f>
        <v>30</v>
      </c>
      <c r="F32" s="2" t="s">
        <v>33</v>
      </c>
      <c r="G32" s="2"/>
      <c r="H32" s="13" t="s">
        <v>35</v>
      </c>
    </row>
    <row r="33" customFormat="false" ht="15" hidden="false" customHeight="false" outlineLevel="0" collapsed="false">
      <c r="A33" s="2" t="s">
        <v>80</v>
      </c>
      <c r="B33" s="2" t="s">
        <v>83</v>
      </c>
      <c r="C33" s="13" t="n">
        <v>1</v>
      </c>
      <c r="D33" s="14" t="n">
        <v>60</v>
      </c>
      <c r="E33" s="4" t="n">
        <f aca="false">C33*D33</f>
        <v>60</v>
      </c>
      <c r="F33" s="2" t="s">
        <v>33</v>
      </c>
      <c r="G33" s="2"/>
      <c r="H33" s="13" t="s">
        <v>35</v>
      </c>
    </row>
    <row r="34" customFormat="false" ht="15" hidden="false" customHeight="false" outlineLevel="0" collapsed="false">
      <c r="A34" s="2" t="s">
        <v>80</v>
      </c>
      <c r="B34" s="2" t="s">
        <v>84</v>
      </c>
      <c r="C34" s="13" t="n">
        <v>1</v>
      </c>
      <c r="D34" s="14" t="n">
        <v>400</v>
      </c>
      <c r="E34" s="4" t="n">
        <f aca="false">C34*D34</f>
        <v>400</v>
      </c>
      <c r="F34" s="2" t="s">
        <v>33</v>
      </c>
      <c r="G34" s="2" t="s">
        <v>85</v>
      </c>
      <c r="H34" s="1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2026-10-25T08:03:57Z</dcterms:created>
  <dc:creator>openpyxl</dc:creator>
  <dc:description/>
  <dc:language>en-US</dc:language>
  <cp:lastModifiedBy/>
  <dcterms:modified xsi:type="dcterms:W3CDTF">2026-10-25T08:03:57Z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